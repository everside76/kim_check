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cuments\00_GOBAN\"/>
    </mc:Choice>
  </mc:AlternateContent>
  <xr:revisionPtr revIDLastSave="0" documentId="13_ncr:1_{AAC26EC4-1E83-4527-9C5F-5DF9F58541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김치옥_MOT_무르익다" sheetId="1" r:id="rId1"/>
    <sheet name="❌ 절대 금지 10계명" sheetId="2" r:id="rId2"/>
  </sheets>
  <definedNames>
    <definedName name="_xlnm._FilterDatabase" localSheetId="0" hidden="1">김치옥_MOT_무르익다!$A$2:$I$2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G57" i="1"/>
  <c r="A30" i="1" l="1"/>
  <c r="A31" i="1" s="1"/>
  <c r="A33" i="1" s="1"/>
  <c r="A34" i="1" s="1"/>
  <c r="A35" i="1" s="1"/>
  <c r="A36" i="1" s="1"/>
  <c r="A37" i="1" s="1"/>
  <c r="A39" i="1" s="1"/>
  <c r="A40" i="1" s="1"/>
  <c r="A41" i="1" s="1"/>
  <c r="A42" i="1" s="1"/>
  <c r="A43" i="1" s="1"/>
  <c r="A44" i="1" s="1"/>
  <c r="A46" i="1" s="1"/>
  <c r="A21" i="1"/>
  <c r="A22" i="1" s="1"/>
  <c r="A23" i="1" s="1"/>
  <c r="A24" i="1" s="1"/>
  <c r="A25" i="1" s="1"/>
  <c r="A26" i="1" s="1"/>
  <c r="A27" i="1" s="1"/>
  <c r="F57" i="1" l="1"/>
  <c r="A47" i="1" l="1"/>
  <c r="A48" i="1" s="1"/>
  <c r="A50" i="1" s="1"/>
  <c r="A51" i="1" s="1"/>
  <c r="A53" i="1" l="1"/>
  <c r="A54" i="1" s="1"/>
  <c r="A55" i="1" s="1"/>
  <c r="A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김아름</author>
  </authors>
  <commentList>
    <comment ref="I40" authorId="0" shapeId="0" xr:uid="{F3418D1A-AB44-4A11-B202-FD774E769132}">
      <text>
        <r>
          <rPr>
            <b/>
            <sz val="9"/>
            <color indexed="81"/>
            <rFont val="돋움"/>
            <family val="3"/>
            <charset val="129"/>
          </rPr>
          <t>메뉴별로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<sst xmlns="http://schemas.openxmlformats.org/spreadsheetml/2006/main" count="250" uniqueCount="134">
  <si>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</si>
  <si>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</si>
  <si>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</si>
  <si>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</si>
  <si>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</si>
  <si>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</si>
  <si>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</si>
  <si>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</si>
  <si>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</si>
  <si>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</si>
  <si>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</si>
  <si>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</si>
  <si>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</si>
  <si>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계산</t>
  </si>
  <si>
    <t>환송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</si>
  <si>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</si>
  <si>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</si>
  <si>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</si>
  <si>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</si>
  <si>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</si>
  <si>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</si>
  <si>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체크 항목</t>
    <phoneticPr fontId="16" type="noConversion"/>
  </si>
  <si>
    <t>S</t>
  </si>
  <si>
    <t>S</t>
    <phoneticPr fontId="16" type="noConversion"/>
  </si>
  <si>
    <t>서빙</t>
  </si>
  <si>
    <t>서빙</t>
    <phoneticPr fontId="16" type="noConversion"/>
  </si>
  <si>
    <t>식사중</t>
  </si>
  <si>
    <t>식사중</t>
    <phoneticPr fontId="16" type="noConversion"/>
  </si>
  <si>
    <t>퇴식</t>
  </si>
  <si>
    <t>▶  입점</t>
    <phoneticPr fontId="16" type="noConversion"/>
  </si>
  <si>
    <t>▶  서빙</t>
    <phoneticPr fontId="16" type="noConversion"/>
  </si>
  <si>
    <t>비고</t>
    <phoneticPr fontId="16" type="noConversion"/>
  </si>
  <si>
    <t>▶  주문</t>
    <phoneticPr fontId="16" type="noConversion"/>
  </si>
  <si>
    <t>▶  식사중</t>
    <phoneticPr fontId="16" type="noConversion"/>
  </si>
  <si>
    <t>추가 반찬은 셀프바를 이용해 주세요' 안내를 하는가?
(셀프바가 없는 경우, 추가 반찬이 필요하시면 직원을 불러주세요 멘트)</t>
    <phoneticPr fontId="16" type="noConversion"/>
  </si>
  <si>
    <t>▶  클레임 (발생 한 경우 체크 or 롤플레이 시행)</t>
    <phoneticPr fontId="16" type="noConversion"/>
  </si>
  <si>
    <t>테이블
오더</t>
    <phoneticPr fontId="16" type="noConversion"/>
  </si>
  <si>
    <t>▶  퇴식 (관찰 가능한 경우 체크)</t>
    <phoneticPr fontId="16" type="noConversion"/>
  </si>
  <si>
    <t>식사 중, "음식은 괜찮으세요?" 등 고객 만족 여부를 체크하는가?</t>
    <phoneticPr fontId="16" type="noConversion"/>
  </si>
  <si>
    <t>배점</t>
    <phoneticPr fontId="16" type="noConversion"/>
  </si>
  <si>
    <t>적절한 추천 메뉴(전략판매메뉴)가 상단에 위치해 있는가? 
(점심 : 점심특선, 저녁 : 신메뉴 등)</t>
    <phoneticPr fontId="16" type="noConversion"/>
  </si>
  <si>
    <t>물·반찬 리필을 고객 요청 전에 먼저 물어보는가?</t>
    <phoneticPr fontId="16" type="noConversion"/>
  </si>
  <si>
    <t>▶  계산 및 환송</t>
    <phoneticPr fontId="16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</si>
  <si>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</si>
  <si>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</si>
  <si>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</si>
  <si>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</si>
  <si>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</si>
  <si>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</si>
  <si>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</si>
  <si>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</si>
  <si>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</si>
  <si>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</si>
  <si>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</si>
  <si>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</si>
  <si>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</si>
  <si>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</si>
  <si>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6" type="noConversion"/>
  </si>
  <si>
    <t>인사 시 "밝은 표정(미소)"을 짓는가?</t>
    <phoneticPr fontId="16" type="noConversion"/>
  </si>
  <si>
    <t>대기 후 입장 시 '기다려 주셔서 감사합니다' 인사를 하는가?</t>
    <phoneticPr fontId="16" type="noConversion"/>
  </si>
  <si>
    <t>음식 나올 때 테이블에 던지듯 내려놓기</t>
    <phoneticPr fontId="16" type="noConversion"/>
  </si>
  <si>
    <t>불친절</t>
    <phoneticPr fontId="16" type="noConversion"/>
  </si>
  <si>
    <t>무응답</t>
    <phoneticPr fontId="16" type="noConversion"/>
  </si>
  <si>
    <t>감정행동</t>
    <phoneticPr fontId="16" type="noConversion"/>
  </si>
  <si>
    <t>서비스 강령</t>
    <phoneticPr fontId="16" type="noConversion"/>
  </si>
  <si>
    <t>큰소리 기준 : 메아리 2명 이상 시 이행으로 판단</t>
    <phoneticPr fontId="16" type="noConversion"/>
  </si>
  <si>
    <t>밝은 미소 기준 : 치아가 보이는 미소</t>
    <phoneticPr fontId="16" type="noConversion"/>
  </si>
  <si>
    <t>만석 안내 기준 : 대기 장소, 대기 예상 시간 안내</t>
    <phoneticPr fontId="16" type="noConversion"/>
  </si>
  <si>
    <t>메뉴(반찬포함) 제공 시 '실례하겠습니다' 멘트를 하는가?</t>
    <phoneticPr fontId="16" type="noConversion"/>
  </si>
  <si>
    <t>입점 시 인사나 안내 없이 고객 방치하기</t>
    <phoneticPr fontId="16" type="noConversion"/>
  </si>
  <si>
    <t>유니폼 입고 흡연하기</t>
    <phoneticPr fontId="16" type="noConversion"/>
  </si>
  <si>
    <t>고객 "앞"에서 직원 혼내기</t>
    <phoneticPr fontId="16" type="noConversion"/>
  </si>
  <si>
    <t>오픈 시간 영업준비 안되어 있기</t>
    <phoneticPr fontId="16" type="noConversion"/>
  </si>
  <si>
    <t>직접주문 매장  [직접
주문]</t>
    <phoneticPr fontId="16" type="noConversion"/>
  </si>
  <si>
    <t>테이블오더 매장  [테이블
오더]</t>
    <phoneticPr fontId="16" type="noConversion"/>
  </si>
  <si>
    <t>폭  언</t>
    <phoneticPr fontId="16" type="noConversion"/>
  </si>
  <si>
    <t>책임전가</t>
    <phoneticPr fontId="16" type="noConversion"/>
  </si>
  <si>
    <t>감정 상태를 행동(그릇 소리·집게·카트 등)으로 고객에게 드러내기</t>
    <phoneticPr fontId="16" type="noConversion"/>
  </si>
  <si>
    <t>오픈준수</t>
    <phoneticPr fontId="16" type="noConversion"/>
  </si>
  <si>
    <t>Moment of Truth (고객이 브랜드를 직접 경험하는 접점 순간순간)</t>
    <phoneticPr fontId="16" type="noConversion"/>
  </si>
  <si>
    <t>아기 손님이 있을 때 아기 수저·포크·유아의자 필요여부를 먼저 제안하는가?</t>
    <phoneticPr fontId="16" type="noConversion"/>
  </si>
  <si>
    <t>흰색·밝은색 옷 고객에게 먼저 앞치마 필요여부를 물어보는가?</t>
    <phoneticPr fontId="16" type="noConversion"/>
  </si>
  <si>
    <t>고객 불편사항에 대해 즉시 사과하지 않기</t>
    <phoneticPr fontId="16" type="noConversion"/>
  </si>
  <si>
    <t>고객 요청에 대답 안하기 (실행 여부 관계 없이)</t>
    <phoneticPr fontId="16" type="noConversion"/>
  </si>
  <si>
    <t>※ 발생 체크 1건당 총점에서 5점 추가 감점 적용 / 시정 조치 내용 반드시 보고</t>
    <phoneticPr fontId="16" type="noConversion"/>
  </si>
  <si>
    <t>수저·젓가락·냅킨이 충분히 준비되어 있는가?</t>
    <phoneticPr fontId="16" type="noConversion"/>
  </si>
  <si>
    <t>음식의 제공 속도가 늦어질 때(15분이상), 고객에게 양해멘트 및 예상대기시간을 안내를 하는가?</t>
    <phoneticPr fontId="16" type="noConversion"/>
  </si>
  <si>
    <t xml:space="preserve">    MOT 서비스 — 고기류</t>
  </si>
  <si>
    <t>고객 입장 즉시 '어서오세요!! 김치옥입니다.' 라고 "큰 소리"로 인사하는가?</t>
    <phoneticPr fontId="16" type="noConversion"/>
  </si>
  <si>
    <t>감사합니다. 고객님! 계산 도와 드리겠습니다.' 고객과 눈을 마주 보면서 '식사는 맛있게 하셨어요?' 매뉴얼에 맞게 응대 하는가?</t>
    <phoneticPr fontId="16" type="noConversion"/>
  </si>
  <si>
    <t>홀 직원은 항상 홀에 있으며 테이블을 수시로 살피는가?</t>
    <phoneticPr fontId="16" type="noConversion"/>
  </si>
  <si>
    <t>큰소리 기준 : 선창,후창 2명 이상 시 이행으로 판단</t>
    <phoneticPr fontId="16" type="noConversion"/>
  </si>
  <si>
    <t>웨이팅 고객에게 웨이팅 리스트 작성 설명 및 예상 시간 안내 하는가? 
(ex. 고객님 대략 웨이팅 5~7분 정도 소요가 됩니다. 대기자 명단에 작성 부탁드립니다. 감사합니다.)(상황에 맞는 멘트 사용)</t>
    <phoneticPr fontId="16" type="noConversion"/>
  </si>
  <si>
    <t>주문 안내 및 추천 메뉴(전략판매메뉴)를 제안하는가? 
(점심: 점심특선, 저녁: 인분에 맞는 세트메뉴 등)</t>
    <phoneticPr fontId="16" type="noConversion"/>
  </si>
  <si>
    <t>고객이 테블릿 주문에 어려움을 겪을 때 즉시 도움을 제공하는가?
(점심 : 주로 잘 나가는 메뉴 추천)</t>
    <phoneticPr fontId="16" type="noConversion"/>
  </si>
  <si>
    <t>불판온도계 구입, 200도 이상 시</t>
    <phoneticPr fontId="16" type="noConversion"/>
  </si>
  <si>
    <t>고기를 불판에 올리기 전, 온도계로 불판 온도를 확인하는가?</t>
    <phoneticPr fontId="16" type="noConversion"/>
  </si>
  <si>
    <t>맛있게 곁들여 먹는법에 참고에 대한 안내를 하는가?</t>
    <phoneticPr fontId="16" type="noConversion"/>
  </si>
  <si>
    <t>(저녁) 고기 드실까요? 찜,찌개 드실까요? (+맞춰서 테이블 세팅 준비)</t>
    <phoneticPr fontId="16" type="noConversion"/>
  </si>
  <si>
    <t>(저녁)후식·식사메뉴 동시 주문 시 제공 타이밍을 확인하여 안내하는가?</t>
    <phoneticPr fontId="16" type="noConversion"/>
  </si>
  <si>
    <t>맛있게 먹는법에 참고에 대한 안내를 하는가?</t>
    <phoneticPr fontId="16" type="noConversion"/>
  </si>
  <si>
    <t xml:space="preserve">    MOT 서비스 — 찜, 찌개류, 엽땡불</t>
    <phoneticPr fontId="16" type="noConversion"/>
  </si>
  <si>
    <t>물 제공 시, 리뷰 이벤트에 대한 안내를 하는가?</t>
    <phoneticPr fontId="16" type="noConversion"/>
  </si>
  <si>
    <t>쿠폰·재방문 안내·주차필요, 영수증 필요 여부 멘트를 하는가?</t>
    <phoneticPr fontId="16" type="noConversion"/>
  </si>
  <si>
    <t>'감사합니다. 안녕히 가세요!' 환송 인사를 큰 소리로 하는가?</t>
    <phoneticPr fontId="16" type="noConversion"/>
  </si>
  <si>
    <t>퇴식 시, 테이블에서 짬정리 하지 않고 버싱박스에 바로 담아서 한번에 옮기는가?</t>
    <phoneticPr fontId="16" type="noConversion"/>
  </si>
  <si>
    <t>퇴식시 메뉴얼에 맞는 행주를 사용하고, 크린콜 등 적절한 세정제를 뿌리고 닦는가?</t>
    <phoneticPr fontId="16" type="noConversion"/>
  </si>
  <si>
    <t>3가지 색의 행주 사용(고기상, 찌개상, 의자용)</t>
    <phoneticPr fontId="16" type="noConversion"/>
  </si>
  <si>
    <t>방  치</t>
    <phoneticPr fontId="16" type="noConversion"/>
  </si>
  <si>
    <t>(고객 있는데도) 직원 전체가 매장 비우기</t>
    <phoneticPr fontId="16" type="noConversion"/>
  </si>
  <si>
    <t>입점안내</t>
    <phoneticPr fontId="16" type="noConversion"/>
  </si>
  <si>
    <t>고객이 보이는 장소에서 핸드폰 오래하고 있기</t>
    <phoneticPr fontId="16" type="noConversion"/>
  </si>
  <si>
    <t>7-1</t>
  </si>
  <si>
    <t>8-1</t>
  </si>
  <si>
    <t>7-2</t>
  </si>
  <si>
    <t>8-2</t>
  </si>
  <si>
    <t>9-1</t>
    <phoneticPr fontId="16" type="noConversion"/>
  </si>
  <si>
    <t>9-2</t>
    <phoneticPr fontId="16" type="noConversion"/>
  </si>
  <si>
    <t>김치말이국수 : 잘게 잘라서 숟가락으로 드시면 술안주로 최고예요~!</t>
    <phoneticPr fontId="16" type="noConversion"/>
  </si>
  <si>
    <t xml:space="preserve">
볶음밥 : 불판에 남은 고기와 김치를 잘게 잘라서 함께 볶아드세요~ (김치가 없다면, 셀프바에서 가져다 드시면 됩니다) 마지막에 김가루와 참기름을 넣어서 같이 드시면 됩니다~</t>
    <phoneticPr fontId="16" type="noConversion"/>
  </si>
  <si>
    <t>사이드 메뉴 제공 시, (셀프볶음밥)
적절한 안내 멘트를 하는가?</t>
    <phoneticPr fontId="16" type="noConversion"/>
  </si>
  <si>
    <t>사이드 메뉴 제공 시, (김치말이국수)
적절한 안내 멘트를 하는가?</t>
    <phoneticPr fontId="16" type="noConversion"/>
  </si>
  <si>
    <t>뜨거운 음식 제공 시 '뜨거우니 조심하세요' 라고 안내하는가? 
(예: 제육볶음, 폭탄계란찜, 기타등등)</t>
    <phoneticPr fontId="16" type="noConversion"/>
  </si>
  <si>
    <t>1. 찌개류 : 타이머가 울리면 "실례합니다" 하고 불 조절(약불) 해주면서 
"맛있게 드세요!" 멘트를 하는가?
2. 김치찜 : 불 키고 난뒤 "고객님 국물이 끓어오르면 김치와 고기를 잘라서 
드세요!" 멘트를 하는가?</t>
    <phoneticPr fontId="16" type="noConversion"/>
  </si>
  <si>
    <t>찌개, 찜 (공통) : 육수 더 필요하시면 말씀해주세요 멘트를 하는가?</t>
    <phoneticPr fontId="16" type="noConversion"/>
  </si>
  <si>
    <t>김치찜 매뉴얼
찌개 : 사리 넣어드시면 더 맛있어요~</t>
    <phoneticPr fontId="16" type="noConversion"/>
  </si>
  <si>
    <t>고기 제공 전, 반찬이 메뉴 기준에 맞게 세팅되었는가? 
① 콩나물+고사리+익은지+파김치
② 장아찌류+소스류+열무김치 + 겉절이 
③ 앞접시 
④ 껍데기 주문 시 콩가루</t>
    <phoneticPr fontId="16" type="noConversion"/>
  </si>
  <si>
    <t>고기별 굽는 순서를 안내하는가?
(모둠한판, 모둠대판) 주문시 (삼겹살 +목살 +가브리살 + 껍데기)</t>
    <phoneticPr fontId="16" type="noConversion"/>
  </si>
  <si>
    <t>고기 / 모둠(한판,대판) 을 올려주고
   21번 문항 ①번 반찬을 올려주며, 그릇을 퇴식하는가?</t>
    <phoneticPr fontId="16" type="noConversion"/>
  </si>
  <si>
    <t>① 콩나물+고사리+익은지+파김치</t>
    <phoneticPr fontId="16" type="noConversion"/>
  </si>
  <si>
    <t>(짜게티 / 셀프볶음밥)  사이드 메뉴 제공 시 적절한 안내 멘트를 하는가?</t>
    <phoneticPr fontId="16" type="noConversion"/>
  </si>
  <si>
    <t>짜게티 : 불판위에 올려드릴까요?
(불판에 공간이 있는 경우에만 멘트 사용) + 고기랑 같이 드세요~
(따로 드실 경우 : 불판에 공간이 생기면, 불판에 올려서 따뜻하게 드실 수 있도록 안내)</t>
    <phoneticPr fontId="16" type="noConversion"/>
  </si>
  <si>
    <t>핸드폰</t>
    <phoneticPr fontId="16" type="noConversion"/>
  </si>
  <si>
    <r>
      <rPr>
        <b/>
        <sz val="14"/>
        <color rgb="FFFFFFFF"/>
        <rFont val="Segoe UI Emoji"/>
        <family val="2"/>
      </rPr>
      <t>🥬</t>
    </r>
    <r>
      <rPr>
        <b/>
        <sz val="14"/>
        <color rgb="FFFFFFFF"/>
        <rFont val="맑은 고딕"/>
        <family val="3"/>
        <charset val="129"/>
      </rPr>
      <t xml:space="preserve">  김치옥 무르익다 서비스 체크리스트  (35문항)</t>
    </r>
    <r>
      <rPr>
        <b/>
        <sz val="14"/>
        <color rgb="FFFFFFFF"/>
        <rFont val="맑은 고딕"/>
        <family val="2"/>
        <charset val="129"/>
      </rPr>
      <t xml:space="preserve"> - For. 원활함 &amp; 활기참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</si>
</sst>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4"/>
      <color rgb="FFFFFFFF"/>
      <name val="맑은 고딕"/>
      <family val="2"/>
      <charset val="129"/>
    </font>
    <font>
      <b/>
      <sz val="14"/>
      <color rgb="FFFFFFFF"/>
      <name val="Segoe UI Emoji"/>
      <family val="2"/>
    </font>
    <font>
      <b/>
      <sz val="9"/>
      <color rgb="FF004D4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7030A0"/>
      <name val="맑은 고딕"/>
      <family val="3"/>
      <charset val="129"/>
    </font>
    <font>
      <sz val="9"/>
      <color rgb="FF7030A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  <fill>
      <patternFill patternType="solid">
        <fgColor rgb="FFE0F2F1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right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5" fillId="2" borderId="1" xfId="0" quotePrefix="1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4" fillId="15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left" vertical="center" wrapText="1"/>
    </xf>
    <xf numFmtId="0" fontId="19" fillId="16" borderId="11" xfId="0" applyFont="1" applyFill="1" applyBorder="1" applyAlignment="1">
      <alignment horizontal="left" vertical="center" wrapText="1"/>
    </xf>
    <xf numFmtId="0" fontId="20" fillId="16" borderId="11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5" fillId="2" borderId="15" xfId="0" quotePrefix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" xfId="0" quotePrefix="1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22" fillId="0" borderId="0" xfId="0" applyFont="1"/>
    <xf numFmtId="9" fontId="0" fillId="0" borderId="0" xfId="0" applyNumberFormat="1"/>
    <xf numFmtId="0" fontId="28" fillId="2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28" fillId="4" borderId="2" xfId="0" applyFont="1" applyFill="1" applyBorder="1" applyAlignment="1">
      <alignment horizontal="left" vertical="center" wrapText="1"/>
    </xf>
    <xf numFmtId="0" fontId="22" fillId="18" borderId="2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0" fillId="0" borderId="0" xfId="0"/>
    <xf numFmtId="0" fontId="8" fillId="5" borderId="1" xfId="0" applyFont="1" applyFill="1" applyBorder="1" applyAlignment="1">
      <alignment horizontal="left" vertical="center"/>
    </xf>
    <xf numFmtId="0" fontId="23" fillId="9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4" fillId="11" borderId="3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0" fillId="12" borderId="4" xfId="0" applyFill="1" applyBorder="1"/>
    <xf numFmtId="0" fontId="0" fillId="12" borderId="5" xfId="0" applyFill="1" applyBorder="1"/>
    <xf numFmtId="0" fontId="4" fillId="9" borderId="3" xfId="0" applyFont="1" applyFill="1" applyBorder="1" applyAlignment="1">
      <alignment horizontal="left" vertical="center" wrapText="1"/>
    </xf>
    <xf numFmtId="0" fontId="25" fillId="17" borderId="1" xfId="0" applyFont="1" applyFill="1" applyBorder="1" applyAlignment="1">
      <alignment horizontal="left" vertical="center" wrapText="1"/>
    </xf>
    <xf numFmtId="0" fontId="21" fillId="16" borderId="12" xfId="0" applyFont="1" applyFill="1" applyBorder="1" applyAlignment="1">
      <alignment horizontal="left" vertical="center" wrapText="1"/>
    </xf>
    <xf numFmtId="0" fontId="21" fillId="16" borderId="0" xfId="0" applyFont="1" applyFill="1" applyAlignment="1">
      <alignment horizontal="left" vertical="center" wrapText="1"/>
    </xf>
    <xf numFmtId="0" fontId="17" fillId="13" borderId="12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18" fillId="14" borderId="13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58"/>
  <sheetViews>
    <sheetView showGridLines="0" tabSelected="1" topLeftCell="A40" zoomScale="115" zoomScaleNormal="115" workbookViewId="0">
      <selection activeCell="I37" sqref="I37"/>
    </sheetView>
  </sheetViews>
  <sheetFormatPr defaultRowHeight="16.5" x14ac:dyDescent="0.3"/>
  <cols>
    <col min="1" max="1" width="5" customWidth="1"/>
    <col min="2" max="2" width="8.125" bestFit="1" customWidth="1"/>
    <col min="3" max="3" width="4.625" bestFit="1" customWidth="1"/>
    <col min="4" max="4" width="5.125" bestFit="1" customWidth="1"/>
    <col min="5" max="5" width="54.125" customWidth="1"/>
    <col min="6" max="7" width="5" customWidth="1"/>
    <col min="8" max="8" width="5.625" bestFit="1" customWidth="1"/>
    <col min="9" max="9" width="51.625" style="45" customWidth="1"/>
  </cols>
  <sheetData>
    <row r="1" spans="1:11" ht="33.950000000000003" customHeight="1" x14ac:dyDescent="0.3">
      <c r="A1" s="59" t="s">
        <v>133</v>
      </c>
      <c r="B1" s="57"/>
      <c r="C1" s="57"/>
      <c r="D1" s="57"/>
      <c r="E1" s="57"/>
      <c r="F1" s="57"/>
      <c r="G1" s="57"/>
      <c r="H1" s="57"/>
      <c r="I1" s="57"/>
      <c r="K1" t="s">
        <v>79</v>
      </c>
    </row>
    <row r="2" spans="1:11" ht="24" x14ac:dyDescent="0.3">
      <c r="A2" s="20" t="s">
        <v>0</v>
      </c>
      <c r="B2" s="21" t="s">
        <v>1</v>
      </c>
      <c r="C2" s="21" t="s">
        <v>2</v>
      </c>
      <c r="D2" s="21" t="s">
        <v>3</v>
      </c>
      <c r="E2" s="21" t="s">
        <v>21</v>
      </c>
      <c r="F2" s="21" t="s">
        <v>4</v>
      </c>
      <c r="G2" s="21" t="s">
        <v>5</v>
      </c>
      <c r="H2" s="21" t="s">
        <v>6</v>
      </c>
      <c r="I2" s="22" t="s">
        <v>31</v>
      </c>
    </row>
    <row r="3" spans="1:11" ht="27" customHeight="1" x14ac:dyDescent="0.3">
      <c r="A3" s="67" t="s">
        <v>29</v>
      </c>
      <c r="B3" s="68"/>
      <c r="C3" s="68"/>
      <c r="D3" s="68"/>
      <c r="E3" s="17" t="s">
        <v>39</v>
      </c>
      <c r="F3" s="18"/>
      <c r="G3" s="19"/>
      <c r="H3" s="19"/>
      <c r="I3" s="42"/>
    </row>
    <row r="4" spans="1:11" ht="33.950000000000003" customHeight="1" x14ac:dyDescent="0.3">
      <c r="A4" s="14">
        <v>1</v>
      </c>
      <c r="B4" s="15" t="s">
        <v>8</v>
      </c>
      <c r="C4" s="15" t="s">
        <v>23</v>
      </c>
      <c r="D4" s="12" t="s">
        <v>7</v>
      </c>
      <c r="E4" s="16" t="s">
        <v>88</v>
      </c>
      <c r="F4" s="15"/>
      <c r="G4" s="15">
        <v>-2</v>
      </c>
      <c r="H4" s="15">
        <v>-4</v>
      </c>
      <c r="I4" s="32" t="s">
        <v>91</v>
      </c>
    </row>
    <row r="5" spans="1:11" ht="33.950000000000003" customHeight="1" x14ac:dyDescent="0.3">
      <c r="A5" s="5">
        <v>2</v>
      </c>
      <c r="B5" s="6" t="s">
        <v>8</v>
      </c>
      <c r="C5" s="6" t="s">
        <v>22</v>
      </c>
      <c r="D5" s="3" t="s">
        <v>7</v>
      </c>
      <c r="E5" s="7" t="s">
        <v>9</v>
      </c>
      <c r="F5" s="6"/>
      <c r="G5" s="6">
        <v>-1</v>
      </c>
      <c r="H5" s="6">
        <v>-2</v>
      </c>
      <c r="I5" s="33"/>
    </row>
    <row r="6" spans="1:11" ht="33.950000000000003" customHeight="1" x14ac:dyDescent="0.3">
      <c r="A6" s="14">
        <v>3</v>
      </c>
      <c r="B6" s="15" t="s">
        <v>8</v>
      </c>
      <c r="C6" s="15" t="s">
        <v>23</v>
      </c>
      <c r="D6" s="12" t="s">
        <v>7</v>
      </c>
      <c r="E6" s="16" t="s">
        <v>58</v>
      </c>
      <c r="F6" s="15"/>
      <c r="G6" s="15">
        <v>-2</v>
      </c>
      <c r="H6" s="15">
        <v>-4</v>
      </c>
      <c r="I6" s="32" t="s">
        <v>66</v>
      </c>
    </row>
    <row r="7" spans="1:11" ht="42.6" customHeight="1" x14ac:dyDescent="0.3">
      <c r="A7" s="5">
        <v>4</v>
      </c>
      <c r="B7" s="6" t="s">
        <v>8</v>
      </c>
      <c r="C7" s="6" t="s">
        <v>23</v>
      </c>
      <c r="D7" s="3" t="s">
        <v>7</v>
      </c>
      <c r="E7" s="7" t="s">
        <v>92</v>
      </c>
      <c r="F7" s="6"/>
      <c r="G7" s="6">
        <v>-1</v>
      </c>
      <c r="H7" s="6">
        <v>-2</v>
      </c>
      <c r="I7" s="33" t="s">
        <v>67</v>
      </c>
    </row>
    <row r="8" spans="1:11" ht="33.950000000000003" customHeight="1" x14ac:dyDescent="0.3">
      <c r="A8" s="14">
        <v>5</v>
      </c>
      <c r="B8" s="15" t="s">
        <v>8</v>
      </c>
      <c r="C8" s="15" t="s">
        <v>23</v>
      </c>
      <c r="D8" s="12" t="s">
        <v>7</v>
      </c>
      <c r="E8" s="16" t="s">
        <v>59</v>
      </c>
      <c r="F8" s="15"/>
      <c r="G8" s="15">
        <v>-1</v>
      </c>
      <c r="H8" s="15">
        <v>-2</v>
      </c>
      <c r="I8" s="32"/>
    </row>
    <row r="9" spans="1:11" ht="18" customHeight="1" x14ac:dyDescent="0.3">
      <c r="A9" s="69" t="s">
        <v>32</v>
      </c>
      <c r="B9" s="62"/>
      <c r="C9" s="62"/>
      <c r="D9" s="62"/>
      <c r="E9" s="62"/>
      <c r="F9" s="62"/>
      <c r="G9" s="62"/>
      <c r="H9" s="62"/>
      <c r="I9" s="63"/>
    </row>
    <row r="10" spans="1:11" ht="33.950000000000003" customHeight="1" x14ac:dyDescent="0.3">
      <c r="A10" s="14">
        <v>6</v>
      </c>
      <c r="B10" s="2" t="s">
        <v>11</v>
      </c>
      <c r="C10" s="15" t="s">
        <v>23</v>
      </c>
      <c r="D10" s="12" t="s">
        <v>7</v>
      </c>
      <c r="E10" s="16" t="s">
        <v>98</v>
      </c>
      <c r="F10" s="15"/>
      <c r="G10" s="15">
        <v>-1</v>
      </c>
      <c r="H10" s="15">
        <v>-2</v>
      </c>
      <c r="I10" s="32"/>
    </row>
    <row r="11" spans="1:11" x14ac:dyDescent="0.3">
      <c r="A11" s="60" t="s">
        <v>73</v>
      </c>
      <c r="B11" s="57"/>
      <c r="C11" s="57"/>
      <c r="D11" s="57"/>
      <c r="E11" s="57"/>
      <c r="F11" s="57"/>
      <c r="G11" s="57"/>
      <c r="H11" s="57"/>
      <c r="I11" s="57"/>
    </row>
    <row r="12" spans="1:11" ht="33.950000000000003" customHeight="1" x14ac:dyDescent="0.3">
      <c r="A12" s="24" t="s">
        <v>112</v>
      </c>
      <c r="B12" s="2" t="s">
        <v>11</v>
      </c>
      <c r="C12" s="2" t="s">
        <v>22</v>
      </c>
      <c r="D12" s="8" t="s">
        <v>10</v>
      </c>
      <c r="E12" s="4" t="s">
        <v>93</v>
      </c>
      <c r="F12" s="2"/>
      <c r="G12" s="15">
        <v>-1</v>
      </c>
      <c r="H12" s="15">
        <v>-2</v>
      </c>
      <c r="I12" s="33"/>
    </row>
    <row r="13" spans="1:11" ht="33.950000000000003" customHeight="1" x14ac:dyDescent="0.3">
      <c r="A13" s="23" t="s">
        <v>113</v>
      </c>
      <c r="B13" s="6" t="s">
        <v>11</v>
      </c>
      <c r="C13" s="6" t="s">
        <v>22</v>
      </c>
      <c r="D13" s="8" t="s">
        <v>10</v>
      </c>
      <c r="E13" s="7" t="s">
        <v>12</v>
      </c>
      <c r="F13" s="6"/>
      <c r="G13" s="6">
        <v>-1</v>
      </c>
      <c r="H13" s="6">
        <v>-2</v>
      </c>
      <c r="I13" s="33"/>
    </row>
    <row r="14" spans="1:11" ht="33.950000000000003" customHeight="1" x14ac:dyDescent="0.3">
      <c r="A14" s="24" t="s">
        <v>116</v>
      </c>
      <c r="B14" s="2" t="s">
        <v>11</v>
      </c>
      <c r="C14" s="2" t="s">
        <v>22</v>
      </c>
      <c r="D14" s="8" t="s">
        <v>10</v>
      </c>
      <c r="E14" s="4" t="s">
        <v>99</v>
      </c>
      <c r="F14" s="2"/>
      <c r="G14" s="2">
        <v>-2</v>
      </c>
      <c r="H14" s="2">
        <v>-4</v>
      </c>
      <c r="I14" s="33"/>
    </row>
    <row r="15" spans="1:11" x14ac:dyDescent="0.3">
      <c r="A15" s="58" t="s">
        <v>74</v>
      </c>
      <c r="B15" s="57"/>
      <c r="C15" s="57"/>
      <c r="D15" s="57"/>
      <c r="E15" s="57"/>
      <c r="F15" s="57"/>
      <c r="G15" s="57"/>
      <c r="H15" s="57"/>
      <c r="I15" s="57"/>
    </row>
    <row r="16" spans="1:11" ht="33.950000000000003" customHeight="1" x14ac:dyDescent="0.3">
      <c r="A16" s="23" t="s">
        <v>114</v>
      </c>
      <c r="B16" s="6" t="s">
        <v>11</v>
      </c>
      <c r="C16" s="6" t="s">
        <v>22</v>
      </c>
      <c r="D16" s="9" t="s">
        <v>36</v>
      </c>
      <c r="E16" s="7" t="s">
        <v>94</v>
      </c>
      <c r="F16" s="6"/>
      <c r="G16" s="6">
        <v>-1</v>
      </c>
      <c r="H16" s="6">
        <v>-2</v>
      </c>
      <c r="I16" s="33"/>
    </row>
    <row r="17" spans="1:13" ht="33.950000000000003" customHeight="1" x14ac:dyDescent="0.3">
      <c r="A17" s="24" t="s">
        <v>115</v>
      </c>
      <c r="B17" s="2" t="s">
        <v>11</v>
      </c>
      <c r="C17" s="2" t="s">
        <v>22</v>
      </c>
      <c r="D17" s="9" t="s">
        <v>36</v>
      </c>
      <c r="E17" s="4" t="s">
        <v>40</v>
      </c>
      <c r="F17" s="2"/>
      <c r="G17" s="53">
        <v>-1</v>
      </c>
      <c r="H17" s="53">
        <v>-2</v>
      </c>
      <c r="I17" s="33"/>
    </row>
    <row r="18" spans="1:13" ht="33.950000000000003" customHeight="1" x14ac:dyDescent="0.3">
      <c r="A18" s="35" t="s">
        <v>117</v>
      </c>
      <c r="B18" s="36" t="s">
        <v>11</v>
      </c>
      <c r="C18" s="36" t="s">
        <v>22</v>
      </c>
      <c r="D18" s="37" t="s">
        <v>36</v>
      </c>
      <c r="E18" s="7" t="s">
        <v>99</v>
      </c>
      <c r="F18" s="36"/>
      <c r="G18" s="6">
        <v>-2</v>
      </c>
      <c r="H18" s="6">
        <v>-4</v>
      </c>
      <c r="I18" s="43"/>
    </row>
    <row r="19" spans="1:13" ht="33.950000000000003" customHeight="1" x14ac:dyDescent="0.3">
      <c r="A19" s="73" t="s">
        <v>30</v>
      </c>
      <c r="B19" s="62"/>
      <c r="C19" s="62"/>
      <c r="D19" s="62"/>
      <c r="E19" s="62"/>
      <c r="F19" s="62"/>
      <c r="G19" s="62"/>
      <c r="H19" s="62"/>
      <c r="I19" s="63"/>
    </row>
    <row r="20" spans="1:13" ht="33.950000000000003" customHeight="1" x14ac:dyDescent="0.3">
      <c r="A20" s="14">
        <v>10</v>
      </c>
      <c r="B20" s="15" t="s">
        <v>24</v>
      </c>
      <c r="C20" s="15" t="s">
        <v>23</v>
      </c>
      <c r="D20" s="12" t="s">
        <v>7</v>
      </c>
      <c r="E20" s="16" t="s">
        <v>80</v>
      </c>
      <c r="F20" s="15"/>
      <c r="G20" s="15">
        <v>-1</v>
      </c>
      <c r="H20" s="15">
        <v>-2</v>
      </c>
      <c r="I20" s="32"/>
    </row>
    <row r="21" spans="1:13" ht="33.950000000000003" customHeight="1" x14ac:dyDescent="0.3">
      <c r="A21" s="5">
        <f t="shared" ref="A21:A27" si="0">A20+1</f>
        <v>11</v>
      </c>
      <c r="B21" s="6" t="s">
        <v>24</v>
      </c>
      <c r="C21" s="6" t="s">
        <v>23</v>
      </c>
      <c r="D21" s="3" t="s">
        <v>7</v>
      </c>
      <c r="E21" s="7" t="s">
        <v>85</v>
      </c>
      <c r="F21" s="6"/>
      <c r="G21" s="6">
        <v>-1</v>
      </c>
      <c r="H21" s="6">
        <v>-2</v>
      </c>
      <c r="I21" s="33"/>
    </row>
    <row r="22" spans="1:13" ht="33.950000000000003" customHeight="1" x14ac:dyDescent="0.3">
      <c r="A22" s="14">
        <f t="shared" si="0"/>
        <v>12</v>
      </c>
      <c r="B22" s="15" t="s">
        <v>24</v>
      </c>
      <c r="C22" s="15" t="s">
        <v>23</v>
      </c>
      <c r="D22" s="12" t="s">
        <v>7</v>
      </c>
      <c r="E22" s="16" t="s">
        <v>81</v>
      </c>
      <c r="F22" s="15"/>
      <c r="G22" s="15">
        <v>-1</v>
      </c>
      <c r="H22" s="15">
        <v>-2</v>
      </c>
      <c r="I22" s="32"/>
    </row>
    <row r="23" spans="1:13" ht="33.950000000000003" customHeight="1" x14ac:dyDescent="0.3">
      <c r="A23" s="5">
        <f t="shared" si="0"/>
        <v>13</v>
      </c>
      <c r="B23" s="6" t="s">
        <v>25</v>
      </c>
      <c r="C23" s="6" t="s">
        <v>23</v>
      </c>
      <c r="D23" s="3" t="s">
        <v>7</v>
      </c>
      <c r="E23" s="7" t="s">
        <v>102</v>
      </c>
      <c r="F23" s="6"/>
      <c r="G23" s="6">
        <v>-1</v>
      </c>
      <c r="H23" s="6">
        <v>-2</v>
      </c>
      <c r="I23" s="33"/>
    </row>
    <row r="24" spans="1:13" ht="33.950000000000003" customHeight="1" x14ac:dyDescent="0.3">
      <c r="A24" s="14">
        <f t="shared" si="0"/>
        <v>14</v>
      </c>
      <c r="B24" s="15" t="s">
        <v>25</v>
      </c>
      <c r="C24" s="15" t="s">
        <v>23</v>
      </c>
      <c r="D24" s="12" t="s">
        <v>7</v>
      </c>
      <c r="E24" s="16" t="s">
        <v>68</v>
      </c>
      <c r="F24" s="15"/>
      <c r="G24" s="15">
        <v>-1</v>
      </c>
      <c r="H24" s="15">
        <v>-2</v>
      </c>
      <c r="I24" s="32"/>
    </row>
    <row r="25" spans="1:13" ht="33.950000000000003" customHeight="1" x14ac:dyDescent="0.3">
      <c r="A25" s="5">
        <f t="shared" si="0"/>
        <v>15</v>
      </c>
      <c r="B25" s="6" t="s">
        <v>24</v>
      </c>
      <c r="C25" s="6" t="s">
        <v>23</v>
      </c>
      <c r="D25" s="3" t="s">
        <v>7</v>
      </c>
      <c r="E25" s="47" t="s">
        <v>122</v>
      </c>
      <c r="F25" s="6"/>
      <c r="G25" s="6">
        <v>-2</v>
      </c>
      <c r="H25" s="6">
        <v>-4</v>
      </c>
      <c r="I25" s="33"/>
    </row>
    <row r="26" spans="1:13" ht="33.950000000000003" customHeight="1" x14ac:dyDescent="0.3">
      <c r="A26" s="14">
        <f t="shared" si="0"/>
        <v>16</v>
      </c>
      <c r="B26" s="15" t="s">
        <v>24</v>
      </c>
      <c r="C26" s="15" t="s">
        <v>23</v>
      </c>
      <c r="D26" s="12" t="s">
        <v>7</v>
      </c>
      <c r="E26" s="16" t="s">
        <v>34</v>
      </c>
      <c r="F26" s="15"/>
      <c r="G26" s="15">
        <v>-2</v>
      </c>
      <c r="H26" s="15">
        <v>-4</v>
      </c>
      <c r="I26" s="32"/>
    </row>
    <row r="27" spans="1:13" ht="33.950000000000003" customHeight="1" x14ac:dyDescent="0.3">
      <c r="A27" s="5">
        <f t="shared" si="0"/>
        <v>17</v>
      </c>
      <c r="B27" s="6" t="s">
        <v>24</v>
      </c>
      <c r="C27" s="6" t="s">
        <v>23</v>
      </c>
      <c r="D27" s="3" t="s">
        <v>7</v>
      </c>
      <c r="E27" s="7" t="s">
        <v>86</v>
      </c>
      <c r="F27" s="6"/>
      <c r="G27" s="6">
        <v>-2</v>
      </c>
      <c r="H27" s="6">
        <v>-4</v>
      </c>
      <c r="I27" s="33"/>
    </row>
    <row r="28" spans="1:13" ht="18" customHeight="1" x14ac:dyDescent="0.3">
      <c r="A28" s="74" t="s">
        <v>101</v>
      </c>
      <c r="B28" s="57"/>
      <c r="C28" s="57"/>
      <c r="D28" s="57"/>
      <c r="E28" s="57"/>
      <c r="F28" s="57"/>
      <c r="G28" s="57"/>
      <c r="H28" s="57"/>
      <c r="I28" s="57"/>
    </row>
    <row r="29" spans="1:13" ht="74.099999999999994" customHeight="1" x14ac:dyDescent="0.3">
      <c r="A29" s="54">
        <v>18</v>
      </c>
      <c r="B29" s="53" t="s">
        <v>24</v>
      </c>
      <c r="C29" s="53" t="s">
        <v>23</v>
      </c>
      <c r="D29" s="3" t="s">
        <v>7</v>
      </c>
      <c r="E29" s="55" t="s">
        <v>123</v>
      </c>
      <c r="F29" s="53"/>
      <c r="G29" s="53">
        <v>-1</v>
      </c>
      <c r="H29" s="53">
        <v>-2</v>
      </c>
      <c r="I29" s="33"/>
    </row>
    <row r="30" spans="1:13" ht="33.950000000000003" customHeight="1" x14ac:dyDescent="0.3">
      <c r="A30" s="5">
        <f t="shared" ref="A30:A31" si="1">A29+1</f>
        <v>19</v>
      </c>
      <c r="B30" s="6" t="s">
        <v>24</v>
      </c>
      <c r="C30" s="6" t="s">
        <v>23</v>
      </c>
      <c r="D30" s="3" t="s">
        <v>7</v>
      </c>
      <c r="E30" s="7" t="s">
        <v>100</v>
      </c>
      <c r="F30" s="6"/>
      <c r="G30" s="6">
        <v>-1</v>
      </c>
      <c r="H30" s="6">
        <v>-2</v>
      </c>
      <c r="I30" s="51" t="s">
        <v>125</v>
      </c>
      <c r="M30" s="46"/>
    </row>
    <row r="31" spans="1:13" ht="33.950000000000003" customHeight="1" x14ac:dyDescent="0.3">
      <c r="A31" s="54">
        <f t="shared" si="1"/>
        <v>20</v>
      </c>
      <c r="B31" s="53" t="s">
        <v>24</v>
      </c>
      <c r="C31" s="53" t="s">
        <v>23</v>
      </c>
      <c r="D31" s="3" t="s">
        <v>7</v>
      </c>
      <c r="E31" s="55" t="s">
        <v>124</v>
      </c>
      <c r="F31" s="53"/>
      <c r="G31" s="53">
        <v>-1</v>
      </c>
      <c r="H31" s="53">
        <v>-2</v>
      </c>
      <c r="I31" s="33"/>
    </row>
    <row r="32" spans="1:13" ht="18" customHeight="1" x14ac:dyDescent="0.3">
      <c r="A32" s="56" t="s">
        <v>87</v>
      </c>
      <c r="B32" s="57"/>
      <c r="C32" s="57"/>
      <c r="D32" s="57"/>
      <c r="E32" s="57"/>
      <c r="F32" s="57"/>
      <c r="G32" s="57"/>
      <c r="H32" s="57"/>
      <c r="I32" s="57"/>
    </row>
    <row r="33" spans="1:9" ht="60" x14ac:dyDescent="0.3">
      <c r="A33" s="5">
        <f>A31+1</f>
        <v>21</v>
      </c>
      <c r="B33" s="6" t="s">
        <v>24</v>
      </c>
      <c r="C33" s="6" t="s">
        <v>23</v>
      </c>
      <c r="D33" s="3" t="s">
        <v>7</v>
      </c>
      <c r="E33" s="47" t="s">
        <v>126</v>
      </c>
      <c r="F33" s="6"/>
      <c r="G33" s="6">
        <v>-1</v>
      </c>
      <c r="H33" s="6">
        <v>-2</v>
      </c>
      <c r="I33" s="33"/>
    </row>
    <row r="34" spans="1:9" ht="33.950000000000003" customHeight="1" x14ac:dyDescent="0.3">
      <c r="A34" s="14">
        <f t="shared" ref="A34:A37" si="2">A33+1</f>
        <v>22</v>
      </c>
      <c r="B34" s="15" t="s">
        <v>24</v>
      </c>
      <c r="C34" s="15" t="s">
        <v>23</v>
      </c>
      <c r="D34" s="12" t="s">
        <v>7</v>
      </c>
      <c r="E34" s="16" t="s">
        <v>96</v>
      </c>
      <c r="F34" s="15"/>
      <c r="G34" s="15">
        <v>-1</v>
      </c>
      <c r="H34" s="15">
        <v>-2</v>
      </c>
      <c r="I34" s="32" t="s">
        <v>95</v>
      </c>
    </row>
    <row r="35" spans="1:9" ht="33.950000000000003" customHeight="1" x14ac:dyDescent="0.3">
      <c r="A35" s="5">
        <f t="shared" si="2"/>
        <v>23</v>
      </c>
      <c r="B35" s="6" t="s">
        <v>25</v>
      </c>
      <c r="C35" s="6" t="s">
        <v>23</v>
      </c>
      <c r="D35" s="3" t="s">
        <v>7</v>
      </c>
      <c r="E35" s="47" t="s">
        <v>127</v>
      </c>
      <c r="F35" s="6"/>
      <c r="G35" s="6">
        <v>-2</v>
      </c>
      <c r="H35" s="6">
        <v>-4</v>
      </c>
      <c r="I35" s="33"/>
    </row>
    <row r="36" spans="1:9" ht="33.950000000000003" customHeight="1" x14ac:dyDescent="0.3">
      <c r="A36" s="14">
        <f t="shared" si="2"/>
        <v>24</v>
      </c>
      <c r="B36" s="15" t="s">
        <v>25</v>
      </c>
      <c r="C36" s="15" t="s">
        <v>23</v>
      </c>
      <c r="D36" s="12" t="s">
        <v>7</v>
      </c>
      <c r="E36" s="50" t="s">
        <v>128</v>
      </c>
      <c r="F36" s="15"/>
      <c r="G36" s="15">
        <v>-2</v>
      </c>
      <c r="H36" s="15">
        <v>-4</v>
      </c>
      <c r="I36" s="32" t="s">
        <v>129</v>
      </c>
    </row>
    <row r="37" spans="1:9" ht="33.950000000000003" customHeight="1" x14ac:dyDescent="0.3">
      <c r="A37" s="5">
        <f t="shared" si="2"/>
        <v>25</v>
      </c>
      <c r="B37" s="6" t="s">
        <v>24</v>
      </c>
      <c r="C37" s="6" t="s">
        <v>23</v>
      </c>
      <c r="D37" s="3" t="s">
        <v>7</v>
      </c>
      <c r="E37" s="7" t="s">
        <v>97</v>
      </c>
      <c r="F37" s="6"/>
      <c r="G37" s="6">
        <v>-2</v>
      </c>
      <c r="H37" s="6">
        <v>-4</v>
      </c>
      <c r="I37" s="52"/>
    </row>
    <row r="38" spans="1:9" ht="33.950000000000003" customHeight="1" x14ac:dyDescent="0.3">
      <c r="A38" s="61" t="s">
        <v>33</v>
      </c>
      <c r="B38" s="62"/>
      <c r="C38" s="62"/>
      <c r="D38" s="62"/>
      <c r="E38" s="62"/>
      <c r="F38" s="62"/>
      <c r="G38" s="62"/>
      <c r="H38" s="62"/>
      <c r="I38" s="63"/>
    </row>
    <row r="39" spans="1:9" ht="33.950000000000003" customHeight="1" x14ac:dyDescent="0.3">
      <c r="A39" s="1">
        <f>A37+1</f>
        <v>26</v>
      </c>
      <c r="B39" s="2" t="s">
        <v>26</v>
      </c>
      <c r="C39" s="2" t="s">
        <v>23</v>
      </c>
      <c r="D39" s="3" t="s">
        <v>7</v>
      </c>
      <c r="E39" s="4" t="s">
        <v>38</v>
      </c>
      <c r="F39" s="2"/>
      <c r="G39" s="2">
        <v>-1</v>
      </c>
      <c r="H39" s="2">
        <v>-2</v>
      </c>
      <c r="I39" s="33"/>
    </row>
    <row r="40" spans="1:9" ht="48" x14ac:dyDescent="0.3">
      <c r="A40" s="5">
        <f t="shared" ref="A40:A44" si="3">A39+1</f>
        <v>27</v>
      </c>
      <c r="B40" s="6" t="s">
        <v>26</v>
      </c>
      <c r="C40" s="6" t="s">
        <v>23</v>
      </c>
      <c r="D40" s="3" t="s">
        <v>7</v>
      </c>
      <c r="E40" s="7" t="s">
        <v>120</v>
      </c>
      <c r="F40" s="6"/>
      <c r="G40" s="6">
        <v>-1</v>
      </c>
      <c r="H40" s="6">
        <v>-2</v>
      </c>
      <c r="I40" s="33" t="s">
        <v>119</v>
      </c>
    </row>
    <row r="41" spans="1:9" ht="33.950000000000003" customHeight="1" x14ac:dyDescent="0.3">
      <c r="A41" s="1">
        <f t="shared" si="3"/>
        <v>28</v>
      </c>
      <c r="B41" s="2" t="s">
        <v>26</v>
      </c>
      <c r="C41" s="2" t="s">
        <v>23</v>
      </c>
      <c r="D41" s="3" t="s">
        <v>7</v>
      </c>
      <c r="E41" s="4" t="s">
        <v>121</v>
      </c>
      <c r="F41" s="2"/>
      <c r="G41" s="2">
        <v>-1</v>
      </c>
      <c r="H41" s="2">
        <v>-2</v>
      </c>
      <c r="I41" s="33" t="s">
        <v>118</v>
      </c>
    </row>
    <row r="42" spans="1:9" ht="48" x14ac:dyDescent="0.3">
      <c r="A42" s="5">
        <f t="shared" si="3"/>
        <v>29</v>
      </c>
      <c r="B42" s="6" t="s">
        <v>26</v>
      </c>
      <c r="C42" s="6" t="s">
        <v>23</v>
      </c>
      <c r="D42" s="3" t="s">
        <v>7</v>
      </c>
      <c r="E42" s="47" t="s">
        <v>130</v>
      </c>
      <c r="F42" s="48"/>
      <c r="G42" s="6">
        <v>-1</v>
      </c>
      <c r="H42" s="6">
        <v>-2</v>
      </c>
      <c r="I42" s="49" t="s">
        <v>131</v>
      </c>
    </row>
    <row r="43" spans="1:9" ht="33.950000000000003" customHeight="1" x14ac:dyDescent="0.3">
      <c r="A43" s="1">
        <f t="shared" si="3"/>
        <v>30</v>
      </c>
      <c r="B43" s="2" t="s">
        <v>27</v>
      </c>
      <c r="C43" s="2" t="s">
        <v>23</v>
      </c>
      <c r="D43" s="3" t="s">
        <v>7</v>
      </c>
      <c r="E43" s="4" t="s">
        <v>41</v>
      </c>
      <c r="F43" s="2"/>
      <c r="G43" s="2">
        <v>-1</v>
      </c>
      <c r="H43" s="2">
        <v>-2</v>
      </c>
      <c r="I43" s="33"/>
    </row>
    <row r="44" spans="1:9" x14ac:dyDescent="0.3">
      <c r="A44" s="5">
        <f t="shared" si="3"/>
        <v>31</v>
      </c>
      <c r="B44" s="6" t="s">
        <v>26</v>
      </c>
      <c r="C44" s="6" t="s">
        <v>23</v>
      </c>
      <c r="D44" s="3" t="s">
        <v>7</v>
      </c>
      <c r="E44" s="7" t="s">
        <v>90</v>
      </c>
      <c r="F44" s="6"/>
      <c r="G44" s="6">
        <v>-1</v>
      </c>
      <c r="H44" s="6">
        <v>-2</v>
      </c>
      <c r="I44" s="33"/>
    </row>
    <row r="45" spans="1:9" ht="33.950000000000003" customHeight="1" x14ac:dyDescent="0.3">
      <c r="A45" s="73" t="s">
        <v>42</v>
      </c>
      <c r="B45" s="62"/>
      <c r="C45" s="62"/>
      <c r="D45" s="62"/>
      <c r="E45" s="62"/>
      <c r="F45" s="62"/>
      <c r="G45" s="62"/>
      <c r="H45" s="62"/>
      <c r="I45" s="63"/>
    </row>
    <row r="46" spans="1:9" ht="33.950000000000003" customHeight="1" x14ac:dyDescent="0.3">
      <c r="A46" s="1">
        <f>A44+1</f>
        <v>32</v>
      </c>
      <c r="B46" s="2" t="s">
        <v>13</v>
      </c>
      <c r="C46" s="2" t="s">
        <v>23</v>
      </c>
      <c r="D46" s="3" t="s">
        <v>7</v>
      </c>
      <c r="E46" s="41" t="s">
        <v>89</v>
      </c>
      <c r="F46" s="2"/>
      <c r="G46" s="2">
        <v>-1</v>
      </c>
      <c r="H46" s="2">
        <v>-2</v>
      </c>
      <c r="I46" s="33"/>
    </row>
    <row r="47" spans="1:9" ht="33.950000000000003" customHeight="1" x14ac:dyDescent="0.3">
      <c r="A47" s="5">
        <f>A46+1</f>
        <v>33</v>
      </c>
      <c r="B47" s="6" t="s">
        <v>13</v>
      </c>
      <c r="C47" s="6" t="s">
        <v>23</v>
      </c>
      <c r="D47" s="3" t="s">
        <v>7</v>
      </c>
      <c r="E47" s="7" t="s">
        <v>103</v>
      </c>
      <c r="F47" s="6"/>
      <c r="G47" s="6">
        <v>-1</v>
      </c>
      <c r="H47" s="6">
        <v>-2</v>
      </c>
      <c r="I47" s="33"/>
    </row>
    <row r="48" spans="1:9" ht="33.950000000000003" customHeight="1" x14ac:dyDescent="0.3">
      <c r="A48" s="5">
        <f>A47+1</f>
        <v>34</v>
      </c>
      <c r="B48" s="2" t="s">
        <v>14</v>
      </c>
      <c r="C48" s="2" t="s">
        <v>23</v>
      </c>
      <c r="D48" s="3" t="s">
        <v>7</v>
      </c>
      <c r="E48" s="41" t="s">
        <v>104</v>
      </c>
      <c r="F48" s="2"/>
      <c r="G48" s="2">
        <v>-2</v>
      </c>
      <c r="H48" s="2">
        <v>-4</v>
      </c>
      <c r="I48" s="33" t="s">
        <v>65</v>
      </c>
    </row>
    <row r="49" spans="1:9" ht="33.950000000000003" customHeight="1" x14ac:dyDescent="0.3">
      <c r="A49" s="64" t="s">
        <v>37</v>
      </c>
      <c r="B49" s="62"/>
      <c r="C49" s="62"/>
      <c r="D49" s="62"/>
      <c r="E49" s="62"/>
      <c r="F49" s="62"/>
      <c r="G49" s="62"/>
      <c r="H49" s="62"/>
      <c r="I49" s="63"/>
    </row>
    <row r="50" spans="1:9" ht="33.950000000000003" customHeight="1" x14ac:dyDescent="0.3">
      <c r="A50" s="5">
        <f>A48+1</f>
        <v>35</v>
      </c>
      <c r="B50" s="6" t="s">
        <v>28</v>
      </c>
      <c r="C50" s="6" t="s">
        <v>23</v>
      </c>
      <c r="D50" s="3" t="s">
        <v>7</v>
      </c>
      <c r="E50" s="7" t="s">
        <v>106</v>
      </c>
      <c r="F50" s="6"/>
      <c r="G50" s="6">
        <v>-1</v>
      </c>
      <c r="H50" s="6">
        <v>-2</v>
      </c>
      <c r="I50" s="33" t="s">
        <v>107</v>
      </c>
    </row>
    <row r="51" spans="1:9" ht="33.950000000000003" customHeight="1" x14ac:dyDescent="0.3">
      <c r="A51" s="5">
        <f>A50+1</f>
        <v>36</v>
      </c>
      <c r="B51" s="38" t="s">
        <v>28</v>
      </c>
      <c r="C51" s="38" t="s">
        <v>23</v>
      </c>
      <c r="D51" s="39" t="s">
        <v>7</v>
      </c>
      <c r="E51" s="40" t="s">
        <v>105</v>
      </c>
      <c r="F51" s="38"/>
      <c r="G51" s="38">
        <v>-1</v>
      </c>
      <c r="H51" s="38">
        <v>-2</v>
      </c>
      <c r="I51" s="43"/>
    </row>
    <row r="52" spans="1:9" ht="33.950000000000003" customHeight="1" x14ac:dyDescent="0.3">
      <c r="A52" s="70" t="s">
        <v>35</v>
      </c>
      <c r="B52" s="71"/>
      <c r="C52" s="71"/>
      <c r="D52" s="71"/>
      <c r="E52" s="71"/>
      <c r="F52" s="71"/>
      <c r="G52" s="71"/>
      <c r="H52" s="71"/>
      <c r="I52" s="72"/>
    </row>
    <row r="53" spans="1:9" ht="33.950000000000003" customHeight="1" x14ac:dyDescent="0.3">
      <c r="A53" s="10">
        <f>A51+1</f>
        <v>37</v>
      </c>
      <c r="B53" s="11" t="s">
        <v>15</v>
      </c>
      <c r="C53" s="11" t="s">
        <v>22</v>
      </c>
      <c r="D53" s="12" t="s">
        <v>7</v>
      </c>
      <c r="E53" s="13" t="s">
        <v>16</v>
      </c>
      <c r="F53" s="11"/>
      <c r="G53" s="11">
        <v>-1</v>
      </c>
      <c r="H53" s="11">
        <v>-2</v>
      </c>
      <c r="I53" s="32"/>
    </row>
    <row r="54" spans="1:9" ht="33.950000000000003" customHeight="1" x14ac:dyDescent="0.3">
      <c r="A54" s="1">
        <f>A53+1</f>
        <v>38</v>
      </c>
      <c r="B54" s="2" t="s">
        <v>15</v>
      </c>
      <c r="C54" s="2" t="s">
        <v>22</v>
      </c>
      <c r="D54" s="3" t="s">
        <v>7</v>
      </c>
      <c r="E54" s="4" t="s">
        <v>17</v>
      </c>
      <c r="F54" s="2"/>
      <c r="G54" s="2">
        <v>-1</v>
      </c>
      <c r="H54" s="2">
        <v>-2</v>
      </c>
      <c r="I54" s="33"/>
    </row>
    <row r="55" spans="1:9" ht="33.950000000000003" customHeight="1" x14ac:dyDescent="0.3">
      <c r="A55" s="10">
        <f>A54+1</f>
        <v>39</v>
      </c>
      <c r="B55" s="6" t="s">
        <v>15</v>
      </c>
      <c r="C55" s="6" t="s">
        <v>22</v>
      </c>
      <c r="D55" s="3" t="s">
        <v>7</v>
      </c>
      <c r="E55" s="7" t="s">
        <v>18</v>
      </c>
      <c r="F55" s="6"/>
      <c r="G55" s="6">
        <v>-1</v>
      </c>
      <c r="H55" s="6">
        <v>-2</v>
      </c>
      <c r="I55" s="33"/>
    </row>
    <row r="56" spans="1:9" ht="33.950000000000003" customHeight="1" x14ac:dyDescent="0.3">
      <c r="A56" s="1">
        <f>A55+1</f>
        <v>40</v>
      </c>
      <c r="B56" s="2" t="s">
        <v>15</v>
      </c>
      <c r="C56" s="2" t="s">
        <v>22</v>
      </c>
      <c r="D56" s="3" t="s">
        <v>7</v>
      </c>
      <c r="E56" s="4" t="s">
        <v>19</v>
      </c>
      <c r="F56" s="2"/>
      <c r="G56" s="2">
        <v>-1</v>
      </c>
      <c r="H56" s="2">
        <v>-2</v>
      </c>
      <c r="I56" s="33"/>
    </row>
    <row r="57" spans="1:9" ht="17.45" customHeight="1" x14ac:dyDescent="0.3">
      <c r="A57" s="65" t="s">
        <v>20</v>
      </c>
      <c r="B57" s="66"/>
      <c r="C57" s="66"/>
      <c r="D57" s="66"/>
      <c r="E57" s="66"/>
      <c r="F57" s="34">
        <f>SUM(F53:F56,F50:F51,F46:F48,F39:F44,F37:F37,F20:F26,F16:F18,F12:F14,F4:F8)</f>
        <v>0</v>
      </c>
      <c r="G57" s="34">
        <f>SUM(G53:G56,G50:G51,G46:G48,G39:G44,G33:G37,G20:G27,G12:G14,G4:G8,G29:G31,G10)</f>
        <v>-50</v>
      </c>
      <c r="H57" s="34">
        <f>SUM(H53:H56,H50:H51,H46:H48,H39:H44,H33:H37,H20:H27,H12:H14,H4:H8,H29:H31,H10)</f>
        <v>-100</v>
      </c>
      <c r="I57" s="44"/>
    </row>
    <row r="58" spans="1:9" ht="20.100000000000001" customHeight="1" x14ac:dyDescent="0.3"/>
  </sheetData>
  <mergeCells count="13">
    <mergeCell ref="A3:D3"/>
    <mergeCell ref="A9:I9"/>
    <mergeCell ref="A52:I52"/>
    <mergeCell ref="A45:I45"/>
    <mergeCell ref="A28:I28"/>
    <mergeCell ref="A19:I19"/>
    <mergeCell ref="A38:I38"/>
    <mergeCell ref="A49:I49"/>
    <mergeCell ref="A57:E57"/>
    <mergeCell ref="A32:I32"/>
    <mergeCell ref="A15:I15"/>
    <mergeCell ref="A1:I1"/>
    <mergeCell ref="A11:I11"/>
  </mergeCells>
  <phoneticPr fontId="16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85" zoomScaleNormal="85" workbookViewId="0">
      <selection activeCell="B13" sqref="B13"/>
    </sheetView>
  </sheetViews>
  <sheetFormatPr defaultRowHeight="16.5" x14ac:dyDescent="0.3"/>
  <cols>
    <col min="1" max="1" width="8.125" customWidth="1"/>
    <col min="2" max="2" width="9.375" bestFit="1" customWidth="1"/>
    <col min="3" max="3" width="59.5" customWidth="1"/>
  </cols>
  <sheetData>
    <row r="1" spans="1:4" ht="32.1" customHeight="1" x14ac:dyDescent="0.3">
      <c r="A1" s="77" t="s">
        <v>57</v>
      </c>
      <c r="B1" s="78"/>
      <c r="C1" s="78"/>
      <c r="D1" s="78"/>
    </row>
    <row r="2" spans="1:4" ht="21.95" customHeight="1" thickBot="1" x14ac:dyDescent="0.35">
      <c r="A2" s="79" t="s">
        <v>64</v>
      </c>
      <c r="B2" s="80"/>
      <c r="C2" s="80"/>
      <c r="D2" s="80"/>
    </row>
    <row r="3" spans="1:4" ht="21.95" customHeight="1" thickBot="1" x14ac:dyDescent="0.35">
      <c r="A3" s="25" t="s">
        <v>0</v>
      </c>
      <c r="B3" s="25" t="s">
        <v>43</v>
      </c>
      <c r="C3" s="26" t="s">
        <v>44</v>
      </c>
      <c r="D3" s="25" t="s">
        <v>56</v>
      </c>
    </row>
    <row r="4" spans="1:4" ht="27.95" customHeight="1" x14ac:dyDescent="0.3">
      <c r="A4" s="27" t="s">
        <v>45</v>
      </c>
      <c r="B4" s="31" t="s">
        <v>110</v>
      </c>
      <c r="C4" s="28" t="s">
        <v>69</v>
      </c>
      <c r="D4" s="28"/>
    </row>
    <row r="5" spans="1:4" ht="33.950000000000003" customHeight="1" x14ac:dyDescent="0.3">
      <c r="A5" s="27" t="s">
        <v>47</v>
      </c>
      <c r="B5" s="30" t="s">
        <v>46</v>
      </c>
      <c r="C5" s="29" t="s">
        <v>70</v>
      </c>
      <c r="D5" s="29"/>
    </row>
    <row r="6" spans="1:4" ht="33.950000000000003" customHeight="1" x14ac:dyDescent="0.3">
      <c r="A6" s="27" t="s">
        <v>48</v>
      </c>
      <c r="B6" s="31" t="s">
        <v>75</v>
      </c>
      <c r="C6" s="28" t="s">
        <v>71</v>
      </c>
      <c r="D6" s="28"/>
    </row>
    <row r="7" spans="1:4" ht="33.950000000000003" customHeight="1" x14ac:dyDescent="0.3">
      <c r="A7" s="27" t="s">
        <v>49</v>
      </c>
      <c r="B7" s="30" t="s">
        <v>62</v>
      </c>
      <c r="C7" s="29" t="s">
        <v>83</v>
      </c>
      <c r="D7" s="29"/>
    </row>
    <row r="8" spans="1:4" ht="33.950000000000003" customHeight="1" x14ac:dyDescent="0.3">
      <c r="A8" s="27" t="s">
        <v>50</v>
      </c>
      <c r="B8" s="31" t="s">
        <v>76</v>
      </c>
      <c r="C8" s="28" t="s">
        <v>82</v>
      </c>
      <c r="D8" s="28"/>
    </row>
    <row r="9" spans="1:4" ht="33.950000000000003" customHeight="1" x14ac:dyDescent="0.3">
      <c r="A9" s="27" t="s">
        <v>51</v>
      </c>
      <c r="B9" s="30" t="s">
        <v>61</v>
      </c>
      <c r="C9" s="29" t="s">
        <v>60</v>
      </c>
      <c r="D9" s="29"/>
    </row>
    <row r="10" spans="1:4" ht="33.950000000000003" customHeight="1" x14ac:dyDescent="0.3">
      <c r="A10" s="27" t="s">
        <v>52</v>
      </c>
      <c r="B10" s="31" t="s">
        <v>78</v>
      </c>
      <c r="C10" s="28" t="s">
        <v>72</v>
      </c>
      <c r="D10" s="28"/>
    </row>
    <row r="11" spans="1:4" ht="33.950000000000003" customHeight="1" x14ac:dyDescent="0.3">
      <c r="A11" s="27" t="s">
        <v>53</v>
      </c>
      <c r="B11" s="30" t="s">
        <v>63</v>
      </c>
      <c r="C11" s="29" t="s">
        <v>77</v>
      </c>
      <c r="D11" s="29"/>
    </row>
    <row r="12" spans="1:4" ht="33.950000000000003" customHeight="1" x14ac:dyDescent="0.3">
      <c r="A12" s="27" t="s">
        <v>54</v>
      </c>
      <c r="B12" s="31" t="s">
        <v>108</v>
      </c>
      <c r="C12" s="28" t="s">
        <v>109</v>
      </c>
      <c r="D12" s="28"/>
    </row>
    <row r="13" spans="1:4" ht="33.950000000000003" customHeight="1" x14ac:dyDescent="0.3">
      <c r="A13" s="27" t="s">
        <v>55</v>
      </c>
      <c r="B13" s="30" t="s">
        <v>132</v>
      </c>
      <c r="C13" s="29" t="s">
        <v>111</v>
      </c>
      <c r="D13" s="29"/>
    </row>
    <row r="14" spans="1:4" ht="33.950000000000003" customHeight="1" x14ac:dyDescent="0.3">
      <c r="A14" s="75" t="s">
        <v>84</v>
      </c>
      <c r="B14" s="76"/>
      <c r="C14" s="76"/>
      <c r="D14" s="76"/>
    </row>
  </sheetData>
  <mergeCells count="3">
    <mergeCell ref="A14:D14"/>
    <mergeCell ref="A1:D1"/>
    <mergeCell ref="A2:D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김치옥_MOT_무르익다</vt:lpstr>
      <vt:lpstr>❌ 절대 금지 10계명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승훈</cp:lastModifiedBy>
  <dcterms:created xsi:type="dcterms:W3CDTF">2026-05-28T09:06:09Z</dcterms:created>
  <dcterms:modified xsi:type="dcterms:W3CDTF">2026-07-01T04:03:07Z</dcterms:modified>
</cp:coreProperties>
</file>